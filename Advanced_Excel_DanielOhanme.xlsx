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tabRatio="808" activeTab="3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<sst xmlns="http://schemas.openxmlformats.org/spreadsheetml/2006/main" count="150" uniqueCount="73">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</sst>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58" fontId="0" fillId="0" borderId="0" xfId="0" applyNumberFormat="1"/>
    <xf numFmtId="22" fontId="0" fillId="0" borderId="0" xfId="0" applyNumberFormat="1"/>
    <xf numFmtId="0" fontId="2" fillId="0" borderId="0" xfId="6" applyFont="1" applyFill="1"/>
    <xf numFmtId="0" fontId="0" fillId="0" borderId="0" xfId="0" applyNumberFormat="1"/>
    <xf numFmtId="9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sue@kevincookie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E9" sqref="E9"/>
    </sheetView>
  </sheetViews>
  <sheetFormatPr defaultColWidth="9" defaultRowHeight="14.5" outlineLevelCol="6"/>
  <cols>
    <col min="1" max="1" width="11.1363636363636" customWidth="1"/>
    <col min="2" max="2" width="17" customWidth="1"/>
    <col min="3" max="3" width="16.8545454545455" customWidth="1"/>
    <col min="4" max="4" width="12.4272727272727" customWidth="1"/>
    <col min="6" max="6" width="2.28181818181818" customWidth="1"/>
  </cols>
  <sheetData>
    <row r="1" spans="2:7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>
      <c r="A2" s="2" t="s">
        <v>5</v>
      </c>
      <c r="B2">
        <v>10</v>
      </c>
      <c r="C2">
        <v>8</v>
      </c>
      <c r="D2">
        <v>5</v>
      </c>
      <c r="E2" s="6">
        <f>SUM(B2:D2)</f>
        <v>23</v>
      </c>
      <c r="G2" s="7">
        <v>0.1</v>
      </c>
    </row>
    <row r="3" spans="1:5">
      <c r="A3" s="2" t="s">
        <v>6</v>
      </c>
      <c r="B3">
        <v>4</v>
      </c>
      <c r="C3">
        <v>3</v>
      </c>
      <c r="D3">
        <v>2</v>
      </c>
      <c r="E3" s="6">
        <f>SUM(B3:D3)</f>
        <v>9</v>
      </c>
    </row>
    <row r="4" spans="1:5">
      <c r="A4" s="2" t="s">
        <v>7</v>
      </c>
      <c r="B4">
        <f>B2-B3</f>
        <v>6</v>
      </c>
      <c r="C4">
        <f>C2-C3</f>
        <v>5</v>
      </c>
      <c r="D4">
        <f>D2-D3</f>
        <v>3</v>
      </c>
      <c r="E4" s="6">
        <f>SUM(B4:D4)</f>
        <v>14</v>
      </c>
    </row>
    <row r="5" spans="1:5">
      <c r="A5" s="2" t="s">
        <v>8</v>
      </c>
      <c r="B5">
        <f>B4*TaxRate</f>
        <v>0.6</v>
      </c>
      <c r="C5">
        <f>C4*TaxRate</f>
        <v>0.5</v>
      </c>
      <c r="D5">
        <f>D4*TaxRate</f>
        <v>0.3</v>
      </c>
      <c r="E5" s="6">
        <f>SUM(B5:D5)</f>
        <v>1.4</v>
      </c>
    </row>
    <row r="6" spans="1:3">
      <c r="A6" s="2"/>
      <c r="C6" s="9"/>
    </row>
    <row r="7" spans="3:3">
      <c r="C7" s="9"/>
    </row>
    <row r="8" spans="3:3">
      <c r="C8" s="9"/>
    </row>
    <row r="9" spans="1:5">
      <c r="A9" s="2" t="s">
        <v>9</v>
      </c>
      <c r="B9">
        <f>B4/2</f>
        <v>3</v>
      </c>
      <c r="C9">
        <f>C4/2</f>
        <v>2.5</v>
      </c>
      <c r="D9">
        <f>D4/2</f>
        <v>1.5</v>
      </c>
      <c r="E9" s="6">
        <f>SUM(B9:D9)</f>
        <v>7</v>
      </c>
    </row>
    <row r="10" spans="3:4">
      <c r="C10" s="9"/>
      <c r="D10" s="3"/>
    </row>
    <row r="11" spans="3:3">
      <c r="C11" s="9"/>
    </row>
    <row r="12" spans="3:3">
      <c r="C12" s="9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" defaultRowHeight="14.5" outlineLevelRow="1"/>
  <sheetData>
    <row r="1" spans="1:1">
      <c r="A1" s="2" t="s">
        <v>4</v>
      </c>
    </row>
    <row r="2" spans="1:1">
      <c r="A2" s="7">
        <v>0.1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D4" sqref="D4:D5"/>
    </sheetView>
  </sheetViews>
  <sheetFormatPr defaultColWidth="9" defaultRowHeight="14.5" outlineLevelCol="3"/>
  <cols>
    <col min="2" max="2" width="14.4272727272727" customWidth="1"/>
  </cols>
  <sheetData>
    <row r="1" spans="2:4">
      <c r="B1" s="2" t="s">
        <v>0</v>
      </c>
      <c r="D1" s="2" t="s">
        <v>4</v>
      </c>
    </row>
    <row r="2" spans="1:4">
      <c r="A2" s="2" t="s">
        <v>5</v>
      </c>
      <c r="B2">
        <v>10</v>
      </c>
      <c r="D2" s="7">
        <v>0.1</v>
      </c>
    </row>
    <row r="3" spans="1:2">
      <c r="A3" s="2" t="s">
        <v>6</v>
      </c>
      <c r="B3">
        <v>4</v>
      </c>
    </row>
    <row r="4" spans="1:4">
      <c r="A4" s="2" t="s">
        <v>7</v>
      </c>
      <c r="B4">
        <f>B2-B3</f>
        <v>6</v>
      </c>
      <c r="D4" t="str">
        <f>_xlfn.FORMULATEXT(B4)</f>
        <v>=B2-B3</v>
      </c>
    </row>
    <row r="5" spans="1:4">
      <c r="A5" s="2" t="s">
        <v>8</v>
      </c>
      <c r="B5">
        <f>(B2-B3)*D2</f>
        <v>0.6</v>
      </c>
      <c r="D5" t="str">
        <f>_xlfn.FORMULATEXT(B5)</f>
        <v>=(B2-B3)*D2</v>
      </c>
    </row>
    <row r="7" spans="1:1">
      <c r="A7" s="8" t="s">
        <v>10</v>
      </c>
    </row>
    <row r="8" spans="1:1">
      <c r="A8" s="8" t="s">
        <v>11</v>
      </c>
    </row>
    <row r="9" spans="1:1">
      <c r="A9" t="s">
        <v>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D17" sqref="D17"/>
    </sheetView>
  </sheetViews>
  <sheetFormatPr defaultColWidth="9" defaultRowHeight="14.5" outlineLevelCol="5"/>
  <cols>
    <col min="1" max="1" width="13.7090909090909" customWidth="1"/>
    <col min="2" max="2" width="12.2818181818182" customWidth="1"/>
    <col min="3" max="3" width="3.13636363636364" customWidth="1"/>
    <col min="4" max="4" width="28.2818181818182" customWidth="1"/>
    <col min="5" max="5" width="12" customWidth="1"/>
    <col min="6" max="6" width="22.5454545454545" customWidth="1"/>
  </cols>
  <sheetData>
    <row r="1" spans="1:2">
      <c r="A1" s="2" t="s">
        <v>13</v>
      </c>
      <c r="B1" s="2" t="s">
        <v>14</v>
      </c>
    </row>
    <row r="2" spans="1:6">
      <c r="A2" t="s">
        <v>0</v>
      </c>
      <c r="B2">
        <v>97</v>
      </c>
      <c r="D2" t="s">
        <v>15</v>
      </c>
      <c r="E2" s="6">
        <f>SUM(B2:B8)</f>
        <v>421</v>
      </c>
      <c r="F2" t="str">
        <f>_xlfn.FORMULATEXT(E2)</f>
        <v>=SUM(B2:B8)</v>
      </c>
    </row>
    <row r="3" spans="1:6">
      <c r="A3" t="s">
        <v>1</v>
      </c>
      <c r="B3">
        <v>77</v>
      </c>
      <c r="D3" t="s">
        <v>16</v>
      </c>
      <c r="E3">
        <f>MAX(B2:B8)</f>
        <v>97</v>
      </c>
      <c r="F3" t="str">
        <f>_xlfn.FORMULATEXT(E3)</f>
        <v>=MAX(B2:B8)</v>
      </c>
    </row>
    <row r="4" spans="1:6">
      <c r="A4" t="s">
        <v>2</v>
      </c>
      <c r="B4">
        <v>67</v>
      </c>
      <c r="D4" t="s">
        <v>17</v>
      </c>
      <c r="E4">
        <f>MIN(B2:B8)</f>
        <v>36</v>
      </c>
      <c r="F4" t="str">
        <f>_xlfn.FORMULATEXT(E4)</f>
        <v>=MIN(B2:B8)</v>
      </c>
    </row>
    <row r="5" spans="1:6">
      <c r="A5" t="s">
        <v>18</v>
      </c>
      <c r="B5">
        <v>52</v>
      </c>
      <c r="D5" t="s">
        <v>19</v>
      </c>
      <c r="E5">
        <f>LARGE(B2:B8,2)</f>
        <v>77</v>
      </c>
      <c r="F5" t="str">
        <f>_xlfn.FORMULATEXT(E5)</f>
        <v>=LARGE(B2:B8,2)</v>
      </c>
    </row>
    <row r="6" spans="1:6">
      <c r="A6" t="s">
        <v>20</v>
      </c>
      <c r="B6">
        <v>52</v>
      </c>
      <c r="D6" t="s">
        <v>21</v>
      </c>
      <c r="E6">
        <f>SMALL(B2:B8,2)</f>
        <v>40</v>
      </c>
      <c r="F6" t="str">
        <f>_xlfn.FORMULATEXT(E6)</f>
        <v>=SMALL(B2:B8,2)</v>
      </c>
    </row>
    <row r="7" spans="1:6">
      <c r="A7" t="s">
        <v>22</v>
      </c>
      <c r="B7">
        <v>40</v>
      </c>
      <c r="D7" t="s">
        <v>23</v>
      </c>
      <c r="E7">
        <f>COUNT(B2:B8)</f>
        <v>7</v>
      </c>
      <c r="F7" t="str">
        <f>_xlfn.FORMULATEXT(E7)</f>
        <v>=COUNT(B2:B8)</v>
      </c>
    </row>
    <row r="8" spans="1:6">
      <c r="A8" t="s">
        <v>24</v>
      </c>
      <c r="B8">
        <v>36</v>
      </c>
      <c r="E8">
        <f>COUNTA(A2:A8)</f>
        <v>7</v>
      </c>
      <c r="F8" t="str">
        <f>_xlfn.FORMULATEXT(E8)</f>
        <v>=COUNTA(A2:A8)</v>
      </c>
    </row>
    <row r="9" spans="5:6">
      <c r="E9">
        <f>COUNTBLANK(A2:A10)</f>
        <v>2</v>
      </c>
      <c r="F9" t="str">
        <f>_xlfn.FORMULATEXT(E9)</f>
        <v>=COUNTBLANK(A2:A10)</v>
      </c>
    </row>
    <row r="10" spans="4:6">
      <c r="D10" t="s">
        <v>25</v>
      </c>
      <c r="E10">
        <f>AVERAGE(B2:B8)</f>
        <v>60.1428571428571</v>
      </c>
      <c r="F10" t="str">
        <f>_xlfn.FORMULATEXT(E10)</f>
        <v>=AVERAGE(B2:B8)</v>
      </c>
    </row>
    <row r="11" spans="4:6">
      <c r="D11" t="s">
        <v>26</v>
      </c>
      <c r="E11">
        <f>MEDIAN(B2:B8)</f>
        <v>52</v>
      </c>
      <c r="F11" t="str">
        <f>_xlfn.FORMULATEXT(E11)</f>
        <v>=MEDIAN(B2:B8)</v>
      </c>
    </row>
    <row r="12" spans="4:6">
      <c r="D12" t="s">
        <v>27</v>
      </c>
      <c r="E12" cm="1">
        <f t="array" ref="E12">MODE(B2:B8)</f>
        <v>52</v>
      </c>
      <c r="F12" t="str">
        <f>_xlfn.FORMULATEXT(E12)</f>
        <v>=MODE(B2:B8)</v>
      </c>
    </row>
  </sheetData>
  <sortState ref="A2:B8">
    <sortCondition ref="B1:B8" descending="1"/>
  </sortState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F10" sqref="F10"/>
    </sheetView>
  </sheetViews>
  <sheetFormatPr defaultColWidth="9" defaultRowHeight="14.5" outlineLevelCol="6"/>
  <cols>
    <col min="1" max="2" width="15.7090909090909" customWidth="1"/>
    <col min="3" max="3" width="12.2818181818182" customWidth="1"/>
    <col min="5" max="5" width="12.4272727272727" customWidth="1"/>
    <col min="6" max="6" width="12.8181818181818"/>
    <col min="7" max="7" width="22.8181818181818" customWidth="1"/>
  </cols>
  <sheetData>
    <row r="1" spans="1:3">
      <c r="A1" s="2" t="s">
        <v>13</v>
      </c>
      <c r="B1" s="2" t="s">
        <v>28</v>
      </c>
      <c r="C1" s="2" t="s">
        <v>14</v>
      </c>
    </row>
    <row r="2" spans="1:7">
      <c r="A2" t="s">
        <v>0</v>
      </c>
      <c r="B2" t="s">
        <v>29</v>
      </c>
      <c r="C2">
        <v>28</v>
      </c>
      <c r="E2" t="s">
        <v>30</v>
      </c>
      <c r="F2">
        <f>SUMIF(B:B,"*a",C:C)</f>
        <v>301</v>
      </c>
      <c r="G2" t="str">
        <f>_xlfn.FORMULATEXT(F2)</f>
        <v>=SUMIF(B:B,"*a",C:C)</v>
      </c>
    </row>
    <row r="3" spans="1:7">
      <c r="A3" t="s">
        <v>1</v>
      </c>
      <c r="B3" t="s">
        <v>29</v>
      </c>
      <c r="C3">
        <v>32</v>
      </c>
      <c r="E3" t="s">
        <v>31</v>
      </c>
      <c r="F3" cm="1">
        <f t="array" ref="F3">SUM(SUMIFS(C:C,B:B,B16,A:A,A16:A18))</f>
        <v>188</v>
      </c>
      <c r="G3" t="str">
        <f t="shared" ref="G3:G12" si="0">_xlfn.FORMULATEXT(F3)</f>
        <v>=SUM(SUMIFS(C:C,B:B,B16,A:A,A16:A18))</v>
      </c>
    </row>
    <row r="4" spans="1:3">
      <c r="A4" t="s">
        <v>2</v>
      </c>
      <c r="B4" t="s">
        <v>29</v>
      </c>
      <c r="C4">
        <v>52</v>
      </c>
    </row>
    <row r="5" spans="1:3">
      <c r="A5" t="s">
        <v>18</v>
      </c>
      <c r="B5" t="s">
        <v>29</v>
      </c>
      <c r="C5">
        <v>67</v>
      </c>
    </row>
    <row r="6" spans="1:3">
      <c r="A6" t="s">
        <v>20</v>
      </c>
      <c r="B6" t="s">
        <v>29</v>
      </c>
      <c r="C6">
        <v>44</v>
      </c>
    </row>
    <row r="7" spans="1:7">
      <c r="A7" t="s">
        <v>22</v>
      </c>
      <c r="B7" t="s">
        <v>29</v>
      </c>
      <c r="C7">
        <v>39</v>
      </c>
      <c r="E7" t="s">
        <v>32</v>
      </c>
      <c r="F7">
        <f>AVERAGEIF(B:B,"*s",C:C)</f>
        <v>57.2857142857143</v>
      </c>
      <c r="G7" t="str">
        <f t="shared" si="0"/>
        <v>=AVERAGEIF(B:B,"*s",C:C)</v>
      </c>
    </row>
    <row r="8" spans="1:7">
      <c r="A8" t="s">
        <v>24</v>
      </c>
      <c r="B8" t="s">
        <v>29</v>
      </c>
      <c r="C8">
        <v>100</v>
      </c>
      <c r="E8" t="s">
        <v>33</v>
      </c>
      <c r="F8" cm="1">
        <f t="array" ref="F8">SUM(AVERAGEIFS(C:C,B:B,"*s",A:A,A9:A11))</f>
        <v>150</v>
      </c>
      <c r="G8" t="str">
        <f t="shared" si="0"/>
        <v>=SUM(AVERAGEIFS(C:C,B:B,"*s",A:A,A9:A11))</v>
      </c>
    </row>
    <row r="9" spans="1:7">
      <c r="A9" t="s">
        <v>0</v>
      </c>
      <c r="B9" t="s">
        <v>34</v>
      </c>
      <c r="C9">
        <v>75</v>
      </c>
      <c r="E9" t="s">
        <v>35</v>
      </c>
      <c r="F9">
        <f>COUNTIF(C:C,"&gt;25")</f>
        <v>19</v>
      </c>
      <c r="G9" t="str">
        <f t="shared" si="0"/>
        <v>=COUNTIF(C:C,"&gt;25")</v>
      </c>
    </row>
    <row r="10" spans="1:7">
      <c r="A10" t="s">
        <v>1</v>
      </c>
      <c r="B10" t="s">
        <v>34</v>
      </c>
      <c r="C10">
        <v>32</v>
      </c>
      <c r="E10" t="s">
        <v>36</v>
      </c>
      <c r="F10">
        <f>COUNTIFS(C:C,"&gt;25",B:B,"*s",A:A,A14)</f>
        <v>2</v>
      </c>
      <c r="G10" t="str">
        <f t="shared" si="0"/>
        <v>=COUNTIFS(C:C,"&gt;25",B:B,"*s",A:A,A14)</v>
      </c>
    </row>
    <row r="11" spans="1:7">
      <c r="A11" t="s">
        <v>2</v>
      </c>
      <c r="B11" t="s">
        <v>34</v>
      </c>
      <c r="C11">
        <v>40</v>
      </c>
      <c r="E11" t="s">
        <v>37</v>
      </c>
      <c r="F11">
        <f>_xlfn.MINIFS(C2:C22,A2:A22,A10,C2:C22,"&gt;5")</f>
        <v>32</v>
      </c>
      <c r="G11" t="str">
        <f t="shared" si="0"/>
        <v>=MINIFS(C2:C22,A2:A22,A10,C2:C22,"&gt;5")</v>
      </c>
    </row>
    <row r="12" spans="1:7">
      <c r="A12" t="s">
        <v>18</v>
      </c>
      <c r="B12" t="s">
        <v>34</v>
      </c>
      <c r="C12">
        <v>21</v>
      </c>
      <c r="E12" t="s">
        <v>38</v>
      </c>
      <c r="F12">
        <f>_xlfn.MAXIFS(C2:C22,B2:B22,B9,C2:C22,"&lt;75")</f>
        <v>58</v>
      </c>
      <c r="G12" t="str">
        <f t="shared" si="0"/>
        <v>=MAXIFS(C2:C22,B2:B22,B9,C2:C22,"&lt;75")</v>
      </c>
    </row>
    <row r="13" spans="1:3">
      <c r="A13" t="s">
        <v>20</v>
      </c>
      <c r="B13" t="s">
        <v>34</v>
      </c>
      <c r="C13">
        <v>58</v>
      </c>
    </row>
    <row r="14" spans="1:3">
      <c r="A14" t="s">
        <v>22</v>
      </c>
      <c r="B14" t="s">
        <v>34</v>
      </c>
      <c r="C14">
        <v>21</v>
      </c>
    </row>
    <row r="15" spans="1:3">
      <c r="A15" t="s">
        <v>24</v>
      </c>
      <c r="B15" t="s">
        <v>34</v>
      </c>
      <c r="C15">
        <v>54</v>
      </c>
    </row>
    <row r="16" spans="1:3">
      <c r="A16" t="s">
        <v>0</v>
      </c>
      <c r="B16" t="s">
        <v>39</v>
      </c>
      <c r="C16">
        <v>55</v>
      </c>
    </row>
    <row r="17" spans="1:3">
      <c r="A17" t="s">
        <v>1</v>
      </c>
      <c r="B17" t="s">
        <v>39</v>
      </c>
      <c r="C17">
        <v>41</v>
      </c>
    </row>
    <row r="18" spans="1:3">
      <c r="A18" t="s">
        <v>2</v>
      </c>
      <c r="B18" t="s">
        <v>39</v>
      </c>
      <c r="C18">
        <v>92</v>
      </c>
    </row>
    <row r="19" spans="1:3">
      <c r="A19" t="s">
        <v>18</v>
      </c>
      <c r="B19" t="s">
        <v>39</v>
      </c>
      <c r="C19">
        <v>89</v>
      </c>
    </row>
    <row r="20" spans="1:3">
      <c r="A20" t="s">
        <v>20</v>
      </c>
      <c r="B20" t="s">
        <v>39</v>
      </c>
      <c r="C20">
        <v>34</v>
      </c>
    </row>
    <row r="21" spans="1:3">
      <c r="A21" t="s">
        <v>22</v>
      </c>
      <c r="B21" t="s">
        <v>39</v>
      </c>
      <c r="C21">
        <v>29</v>
      </c>
    </row>
    <row r="22" spans="1:3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opLeftCell="A17" workbookViewId="0">
      <selection activeCell="A23" sqref="A23"/>
    </sheetView>
  </sheetViews>
  <sheetFormatPr defaultColWidth="9" defaultRowHeight="14.5" outlineLevelCol="4"/>
  <cols>
    <col min="1" max="1" width="23.1363636363636" customWidth="1"/>
  </cols>
  <sheetData>
    <row r="1" spans="1:1">
      <c r="A1" s="2" t="s">
        <v>40</v>
      </c>
    </row>
    <row r="2" spans="1:1">
      <c r="A2" t="s">
        <v>41</v>
      </c>
    </row>
    <row r="3" spans="1:5">
      <c r="A3" t="str">
        <f>PROPER(A2)</f>
        <v>Kevin Cookie Company</v>
      </c>
      <c r="E3" t="str">
        <f>_xlfn.FORMULATEXT(A3)</f>
        <v>=PROPER(A2)</v>
      </c>
    </row>
    <row r="5" spans="1:1">
      <c r="A5" s="2" t="s">
        <v>42</v>
      </c>
    </row>
    <row r="6" spans="1:1">
      <c r="A6" t="s">
        <v>43</v>
      </c>
    </row>
    <row r="7" spans="1:5">
      <c r="A7" t="str">
        <f>TRIM(A6)</f>
        <v>Kevin Cookie Company</v>
      </c>
      <c r="E7" t="str">
        <f>_xlfn.FORMULATEXT(A7)</f>
        <v>=TRIM(A6)</v>
      </c>
    </row>
    <row r="9" spans="1:1">
      <c r="A9" s="2" t="s">
        <v>44</v>
      </c>
    </row>
    <row r="10" spans="1:3">
      <c r="A10" t="s">
        <v>45</v>
      </c>
      <c r="B10" t="s">
        <v>46</v>
      </c>
      <c r="C10" t="s">
        <v>47</v>
      </c>
    </row>
    <row r="11" spans="1:5">
      <c r="A11" t="str">
        <f>_xlfn.CONCAT(A10," ",B10," ",C10)</f>
        <v>Kevin Cookie Company</v>
      </c>
      <c r="E11" t="str">
        <f>_xlfn.FORMULATEXT(A11)</f>
        <v>=CONCAT(A10," ",B10," ",C10)</v>
      </c>
    </row>
    <row r="13" spans="1:1">
      <c r="A13" s="2" t="s">
        <v>48</v>
      </c>
    </row>
    <row r="14" spans="1:3">
      <c r="A14" t="s">
        <v>45</v>
      </c>
      <c r="B14" t="s">
        <v>46</v>
      </c>
      <c r="C14" t="s">
        <v>47</v>
      </c>
    </row>
    <row r="15" spans="1:5">
      <c r="A15" t="str">
        <f>A14&amp;" "&amp;B14&amp;" "&amp;C14</f>
        <v>Kevin Cookie Company</v>
      </c>
      <c r="E15" t="str">
        <f>_xlfn.FORMULATEXT(A15)</f>
        <v>=A14&amp;" "&amp;B14&amp;" "&amp;C14</v>
      </c>
    </row>
    <row r="17" spans="1:1">
      <c r="A17" s="2" t="s">
        <v>49</v>
      </c>
    </row>
    <row r="18" spans="1:3">
      <c r="A18" t="s">
        <v>45</v>
      </c>
      <c r="B18" t="s">
        <v>46</v>
      </c>
      <c r="C18" t="s">
        <v>47</v>
      </c>
    </row>
    <row r="19" spans="1:5">
      <c r="A19" t="str">
        <f>_xlfn.TEXTJOIN(" ",TRUE,A18:C18)</f>
        <v>Kevin Cookie Company</v>
      </c>
      <c r="E19" t="str">
        <f>_xlfn.FORMULATEXT(A19)</f>
        <v>=TEXTJOIN(" ",TRUE,A18:C18)</v>
      </c>
    </row>
    <row r="21" spans="1:1">
      <c r="A21" s="2" t="s">
        <v>50</v>
      </c>
    </row>
    <row r="22" spans="1:1">
      <c r="A22" t="s">
        <v>51</v>
      </c>
    </row>
    <row r="23" spans="1:5">
      <c r="A23" t="str">
        <f>RIGHT(A22,5)</f>
        <v>05486</v>
      </c>
      <c r="E23" t="str">
        <f>_xlfn.FORMULATEXT(A23)</f>
        <v>=RIGHT(A22,5)</v>
      </c>
    </row>
    <row r="24" spans="1:1">
      <c r="A24" s="2" t="s">
        <v>52</v>
      </c>
    </row>
    <row r="25" spans="1:1">
      <c r="A25" t="s">
        <v>53</v>
      </c>
    </row>
    <row r="26" spans="1:5">
      <c r="A26">
        <f>LEN(A25)</f>
        <v>20</v>
      </c>
      <c r="E26" t="str">
        <f>_xlfn.FORMULATEXT(A26)</f>
        <v>=LEN(A25)</v>
      </c>
    </row>
    <row r="27" spans="1:1">
      <c r="A27" s="2" t="s">
        <v>54</v>
      </c>
    </row>
    <row r="28" spans="1:1">
      <c r="A28" s="5" t="s">
        <v>55</v>
      </c>
    </row>
    <row r="29" spans="1:5">
      <c r="A29">
        <f>FIND("@",A28)</f>
        <v>4</v>
      </c>
      <c r="E29" t="str">
        <f>_xlfn.FORMULATEXT(A29)</f>
        <v>=FIND("@",A28)</v>
      </c>
    </row>
    <row r="31" spans="1:1">
      <c r="A31" s="2" t="s">
        <v>56</v>
      </c>
    </row>
    <row r="32" spans="1:5">
      <c r="A32">
        <f>FIND(LEFT("m"),A28)</f>
        <v>18</v>
      </c>
      <c r="E32" t="str">
        <f>_xlfn.FORMULATEXT(A32)</f>
        <v>=FIND(LEFT("m"),A28)</v>
      </c>
    </row>
  </sheetData>
  <hyperlinks>
    <hyperlink ref="A28" r:id="rId1" display="sue@kevincookiecompany.com" tooltip="mailto:sue@kevincookiecompany.com"/>
  </hyperlink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F3" sqref="F3:F8"/>
    </sheetView>
  </sheetViews>
  <sheetFormatPr defaultColWidth="9" defaultRowHeight="14.5" outlineLevelCol="5"/>
  <cols>
    <col min="1" max="1" width="21.7090909090909" customWidth="1"/>
    <col min="2" max="2" width="16.4272727272727" customWidth="1"/>
  </cols>
  <sheetData>
    <row r="1" spans="1:1">
      <c r="A1" s="2" t="s">
        <v>57</v>
      </c>
    </row>
    <row r="2" spans="1:2">
      <c r="A2" t="s">
        <v>53</v>
      </c>
      <c r="B2" t="s">
        <v>58</v>
      </c>
    </row>
    <row r="3" spans="1:6">
      <c r="A3">
        <v>10</v>
      </c>
      <c r="B3">
        <v>5</v>
      </c>
      <c r="C3" t="b">
        <f>A3&gt;B3</f>
        <v>1</v>
      </c>
      <c r="F3" t="str">
        <f>_xlfn.FORMULATEXT(C3)</f>
        <v>=A3&gt;B3</v>
      </c>
    </row>
    <row r="4" spans="2:6">
      <c r="B4">
        <v>11</v>
      </c>
      <c r="C4" t="b">
        <f>A3&lt;B3</f>
        <v>0</v>
      </c>
      <c r="F4" t="str">
        <f>_xlfn.FORMULATEXT(C4)</f>
        <v>=A3&lt;B3</v>
      </c>
    </row>
    <row r="5" spans="3:6">
      <c r="C5" t="b">
        <f>A3&gt;=B4</f>
        <v>0</v>
      </c>
      <c r="F5" t="str">
        <f>_xlfn.FORMULATEXT(C5)</f>
        <v>=A3&gt;=B4</v>
      </c>
    </row>
    <row r="6" spans="3:6">
      <c r="C6" t="b">
        <f>AND(A3&gt;B3,A3&lt;B4)</f>
        <v>1</v>
      </c>
      <c r="F6" t="str">
        <f>_xlfn.FORMULATEXT(C6)</f>
        <v>=AND(A3&gt;B3,A3&lt;B4)</v>
      </c>
    </row>
    <row r="7" spans="3:6">
      <c r="C7" t="b">
        <f>AND(A3&gt;B3,A3&gt;B4)</f>
        <v>0</v>
      </c>
      <c r="F7" t="str">
        <f>_xlfn.FORMULATEXT(C7)</f>
        <v>=AND(A3&gt;B3,A3&gt;B4)</v>
      </c>
    </row>
    <row r="8" spans="1:6">
      <c r="A8" s="2"/>
      <c r="C8" t="b">
        <f>OR(A3&gt;B3,A3&gt;B4)</f>
        <v>1</v>
      </c>
      <c r="F8" t="str">
        <f>_xlfn.FORMULATEXT(C8)</f>
        <v>=OR(A3&gt;B3,A3&gt;B4)</v>
      </c>
    </row>
    <row r="9" spans="1:3">
      <c r="A9" s="2" t="s">
        <v>13</v>
      </c>
      <c r="B9" s="2" t="s">
        <v>14</v>
      </c>
      <c r="C9" s="2" t="s">
        <v>59</v>
      </c>
    </row>
    <row r="10" spans="1:3">
      <c r="A10" t="s">
        <v>0</v>
      </c>
      <c r="B10">
        <v>97</v>
      </c>
      <c r="C10" t="s">
        <v>60</v>
      </c>
    </row>
    <row r="11" spans="1:6">
      <c r="A11" t="s">
        <v>1</v>
      </c>
      <c r="B11">
        <v>87</v>
      </c>
      <c r="C11" t="str">
        <f>IF(B10&gt;B11,"Chocolate Chips","Oatmeal Raisin")</f>
        <v>Chocolate Chips</v>
      </c>
      <c r="F11" t="str">
        <f>_xlfn.FORMULATEXT(C11)</f>
        <v>=IF(B10&gt;B11,"Chocolate Chips","Oatmeal Raisin")</v>
      </c>
    </row>
    <row r="12" spans="1:2">
      <c r="A12" t="s">
        <v>2</v>
      </c>
      <c r="B12">
        <v>150</v>
      </c>
    </row>
    <row r="13" spans="3:3">
      <c r="C13" s="2" t="s">
        <v>61</v>
      </c>
    </row>
    <row r="14" spans="3:3">
      <c r="C14" t="s">
        <v>62</v>
      </c>
    </row>
    <row r="15" spans="3:6">
      <c r="C15" t="str">
        <f>IF(AND(B10&gt;B11,B10&gt;B12),"Yes","No")</f>
        <v>No</v>
      </c>
      <c r="F15" t="str">
        <f>_xlfn.FORMULATEXT(C15)</f>
        <v>=IF(AND(B10&gt;B11,B10&gt;B12),"Yes","No")</v>
      </c>
    </row>
    <row r="17" spans="3:3">
      <c r="C17" s="2" t="s">
        <v>63</v>
      </c>
    </row>
    <row r="18" spans="3:3">
      <c r="C18" t="s">
        <v>64</v>
      </c>
    </row>
    <row r="19" spans="3:6">
      <c r="C19" t="str">
        <f>IF(OR(B10&gt;B11,B10&gt;B12),"Yes","No")</f>
        <v>Yes</v>
      </c>
      <c r="F19" t="str">
        <f>_xlfn.FORMULATEXT(C19)</f>
        <v>=IF(OR(B10&gt;B11,B10&gt;B12),"Yes","No")</v>
      </c>
    </row>
    <row r="21" spans="1:3">
      <c r="A21" s="2" t="s">
        <v>65</v>
      </c>
      <c r="B21" s="2" t="s">
        <v>66</v>
      </c>
      <c r="C21" s="2" t="s">
        <v>67</v>
      </c>
    </row>
    <row r="22" spans="1:5">
      <c r="A22" t="s">
        <v>0</v>
      </c>
      <c r="B22">
        <v>10</v>
      </c>
      <c r="C22" t="s">
        <v>68</v>
      </c>
      <c r="E22" s="2" t="s">
        <v>1</v>
      </c>
    </row>
    <row r="23" spans="1:6">
      <c r="A23" t="s">
        <v>1</v>
      </c>
      <c r="B23">
        <v>8</v>
      </c>
      <c r="C23">
        <f>IF(E22=A22,B22,IF(E22=A23,B23,IF(E22=A24,B24)))</f>
        <v>8</v>
      </c>
      <c r="F23" t="str">
        <f>_xlfn.FORMULATEXT(C23)</f>
        <v>=IF(E22=A22,B22,IF(E22=A23,B23,IF(E22=A24,B24)))</v>
      </c>
    </row>
    <row r="24" spans="1:6">
      <c r="A24" t="s">
        <v>2</v>
      </c>
      <c r="B24">
        <v>5</v>
      </c>
      <c r="C24" cm="1">
        <f t="array" ref="C24">_xlfn.IFS(E22=A22,B22,E22=A23,B23,E22=A24,B24)</f>
        <v>8</v>
      </c>
      <c r="F24" t="str">
        <f>_xlfn.FORMULATEXT(C24)</f>
        <v>=IFS(E22=A22,B22,E22=A23,B23,E22=A24,B24)</v>
      </c>
    </row>
  </sheetData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F15" sqref="F15"/>
    </sheetView>
  </sheetViews>
  <sheetFormatPr defaultColWidth="9" defaultRowHeight="14.5" outlineLevelRow="7" outlineLevelCol="6"/>
  <cols>
    <col min="1" max="1" width="14.4272727272727" customWidth="1"/>
    <col min="3" max="3" width="11.5727272727273" customWidth="1"/>
    <col min="4" max="4" width="3.57272727272727" customWidth="1"/>
    <col min="5" max="5" width="19" customWidth="1"/>
  </cols>
  <sheetData>
    <row r="1" spans="1:5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6">
      <c r="A2" t="s">
        <v>0</v>
      </c>
      <c r="B2">
        <v>10</v>
      </c>
      <c r="C2">
        <v>4</v>
      </c>
      <c r="E2" t="s">
        <v>68</v>
      </c>
      <c r="F2" t="s">
        <v>1</v>
      </c>
    </row>
    <row r="3" spans="1:7">
      <c r="A3" t="s">
        <v>1</v>
      </c>
      <c r="B3">
        <v>8</v>
      </c>
      <c r="C3">
        <v>3</v>
      </c>
      <c r="E3">
        <f>VLOOKUP(F2,A1:C4,2,FALSE)</f>
        <v>8</v>
      </c>
      <c r="G3" t="str">
        <f>_xlfn.FORMULATEXT(E3)</f>
        <v>=VLOOKUP(F2,A1:C4,2,FALSE)</v>
      </c>
    </row>
    <row r="4" spans="1:3">
      <c r="A4" t="s">
        <v>2</v>
      </c>
      <c r="B4">
        <v>5</v>
      </c>
      <c r="C4">
        <v>2</v>
      </c>
    </row>
    <row r="5" spans="5:5">
      <c r="E5" s="2" t="s">
        <v>70</v>
      </c>
    </row>
    <row r="6" spans="5:6">
      <c r="E6" t="s">
        <v>68</v>
      </c>
      <c r="F6" t="s">
        <v>0</v>
      </c>
    </row>
    <row r="7" spans="5:7">
      <c r="E7">
        <f>_xlfn.XLOOKUP(F6,A:A,B:B)</f>
        <v>10</v>
      </c>
      <c r="G7" t="str">
        <f>_xlfn.FORMULATEXT(E7)</f>
        <v>=XLOOKUP(F6,A:A,B:B)</v>
      </c>
    </row>
    <row r="8" spans="5:7">
      <c r="E8" cm="1">
        <f t="array" ref="E8:F8">_xlfn.XLOOKUP(F6,A:A,B:C,)</f>
        <v>10</v>
      </c>
      <c r="F8">
        <v>4</v>
      </c>
      <c r="G8" t="str">
        <f>_xlfn.FORMULATEXT(E8)</f>
        <v>=XLOOKUP(F6,A:A,B:C,)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5" sqref="A5"/>
    </sheetView>
  </sheetViews>
  <sheetFormatPr defaultColWidth="9" defaultRowHeight="14.5" outlineLevelRow="4"/>
  <cols>
    <col min="1" max="1" width="15.4272727272727" customWidth="1"/>
  </cols>
  <sheetData>
    <row r="1" spans="1:1">
      <c r="A1" s="2" t="s">
        <v>71</v>
      </c>
    </row>
    <row r="2" spans="1:1">
      <c r="A2" s="3">
        <f ca="1">TODAY()</f>
        <v>46088</v>
      </c>
    </row>
    <row r="4" spans="1:1">
      <c r="A4" s="2" t="s">
        <v>72</v>
      </c>
    </row>
    <row r="5" spans="1:1">
      <c r="A5" s="4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2" sqref="A2"/>
    </sheetView>
  </sheetViews>
  <sheetFormatPr defaultColWidth="9" defaultRowHeight="14.5" outlineLevelRow="3" outlineLevelCol="1"/>
  <sheetData>
    <row r="1" spans="1:2">
      <c r="A1" s="1">
        <f>5+4</f>
        <v>9</v>
      </c>
      <c r="B1">
        <v>1</v>
      </c>
    </row>
    <row r="2" spans="1:2">
      <c r="A2" s="1">
        <f>8-2</f>
        <v>6</v>
      </c>
      <c r="B2">
        <v>3</v>
      </c>
    </row>
    <row r="3" spans="1:2">
      <c r="A3" s="1">
        <f>A2+B2</f>
        <v>9</v>
      </c>
      <c r="B3" s="1">
        <f>4+2</f>
        <v>6</v>
      </c>
    </row>
    <row r="4" spans="1:2">
      <c r="A4">
        <v>3</v>
      </c>
      <c r="B4" s="1">
        <f>B3+A3</f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Ohanme Daniel</cp:lastModifiedBy>
  <dcterms:created xsi:type="dcterms:W3CDTF">2022-05-10T22:30:00Z</dcterms:created>
  <dcterms:modified xsi:type="dcterms:W3CDTF">2026-03-07T20:40:51Z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A4E11636E1214959B3B52547C540B7CD_13</vt:lpwstr>
  </property>
  <property fmtid="{D5CDD505-2E9C-101B-9397-08002B2CF9AE}" pid="3" name="KSOProductBuildVer">
    <vt:lpwstr>1033-12.2.0.23196</vt:lpwstr>
  </property>
</Properties>
</file>