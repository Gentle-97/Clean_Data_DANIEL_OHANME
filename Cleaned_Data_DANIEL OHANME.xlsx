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<sst xmlns="http://schemas.openxmlformats.org/spreadsheetml/2006/main" count="66" uniqueCount="45">
  <si>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Employee Name</t>
  </si>
  <si>
    <t>Employee Name2</t>
  </si>
  <si>
    <t>Hire Date</t>
  </si>
  <si>
    <t>Hire Date2</t>
  </si>
  <si>
    <t>Salary</t>
  </si>
  <si>
    <t>Dept</t>
  </si>
  <si>
    <t>Dept2</t>
  </si>
  <si>
    <t>Job Title</t>
  </si>
  <si>
    <t>Job Title2</t>
  </si>
  <si>
    <t xml:space="preserve">JUAREZ, JOSE </t>
  </si>
  <si>
    <t>ADMIN</t>
  </si>
  <si>
    <t>INTERN</t>
  </si>
  <si>
    <t xml:space="preserve">ABRAHAM, JOHNNY </t>
  </si>
  <si>
    <t>ENGINEERING</t>
  </si>
  <si>
    <t>TRAINEE</t>
  </si>
  <si>
    <t>BAKER, SARAH</t>
  </si>
  <si>
    <t>SALES</t>
  </si>
  <si>
    <t>SALES EXECUTIVE</t>
  </si>
  <si>
    <t>BALOTELLI, BILLY</t>
  </si>
  <si>
    <t xml:space="preserve">BISHOP, TIANA </t>
  </si>
  <si>
    <t>MANAGER</t>
  </si>
  <si>
    <t>BOATENG, TERRYY</t>
  </si>
  <si>
    <t>ACCOUNTS</t>
  </si>
  <si>
    <t>COST ACCOUNTANT</t>
  </si>
  <si>
    <t xml:space="preserve">BOER, FRED </t>
  </si>
  <si>
    <t>MKTG</t>
  </si>
  <si>
    <t>DESIGNER</t>
  </si>
  <si>
    <t>BARKER, BETTY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</si>
  <si>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</si>
  <si>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</si>
  <si>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</si>
  <si>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</si>
  <si>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</si>
  <si>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</si>
  <si>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>SENIOR TECHNICIAN</t>
  </si>
  <si>
    <t xml:space="preserve">COLE, ASHLEY </t>
  </si>
  <si>
    <t>COOKSON, CHARLES</t>
  </si>
  <si>
    <t>R &amp; D</t>
  </si>
  <si>
    <t>VP</t>
  </si>
  <si>
    <t xml:space="preserve">CROSSLEY, ERIN </t>
  </si>
  <si>
    <t>TEAM LEADER</t>
  </si>
  <si>
    <t xml:space="preserve">DOE, JANE </t>
  </si>
  <si>
    <t xml:space="preserve">DOE, JOHN  </t>
  </si>
  <si>
    <t>DARNSTEIN, DANNY</t>
  </si>
  <si>
    <t xml:space="preserve">FALLENGRANO, BILL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</si>
</sst>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44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58" formatCode="m/d/yyyy"/>
    </dxf>
    <dxf>
      <numFmt numFmtId="178" formatCode="m/d/yyyy;@"/>
    </dxf>
    <dxf>
      <numFmt numFmtId="44" formatCode="_(&quot;$&quot;* #,##0.00_);_(&quot;$&quot;* \(#,##0.00\);_(&quot;$&quot;* &quot;-&quot;??_);_(@_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20" totalsRowShown="0">
  <autoFilter xmlns:etc="http://www.wps.cn/officeDocument/2017/etCustomData" ref="A1:I20" etc:filterBottomFollowUsedRange="0"/>
  <tableColumns count="9">
    <tableColumn id="1" name="Employee Name"/>
    <tableColumn id="2" name="Employee Name2">
      <calculatedColumnFormula>PROPER(A2)</calculatedColumnFormula>
    </tableColumn>
    <tableColumn id="3" name="Hire Date" dataDxfId="0"/>
    <tableColumn id="4" name="Hire Date2" dataDxfId="1">
      <calculatedColumnFormula>VALUE(C2)</calculatedColumnFormula>
    </tableColumn>
    <tableColumn id="5" name="Salary" dataDxfId="2"/>
    <tableColumn id="6" name="Dept"/>
    <tableColumn id="7" name="Dept2">
      <calculatedColumnFormula>SUBSTITUTE(PROPER(F2),"Mktg","Marketing")</calculatedColumnFormula>
    </tableColumn>
    <tableColumn id="8" name="Job Title"/>
    <tableColumn id="9" name="Job Title2">
      <calculatedColumnFormula>PROPER(H2)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topLeftCell="B1" workbookViewId="0">
      <selection activeCell="I15" sqref="I15"/>
    </sheetView>
  </sheetViews>
  <sheetFormatPr defaultColWidth="8.72727272727273" defaultRowHeight="14.5"/>
  <cols>
    <col min="1" max="1" width="19.5454545454545" hidden="1" customWidth="1"/>
    <col min="2" max="2" width="17.3636363636364" customWidth="1"/>
    <col min="3" max="3" width="11.3636363636364" hidden="1" customWidth="1"/>
    <col min="4" max="4" width="11.3636363636364" customWidth="1"/>
    <col min="5" max="5" width="11.6363636363636" customWidth="1"/>
    <col min="6" max="6" width="13.5454545454545" hidden="1" customWidth="1"/>
    <col min="7" max="7" width="11.4545454545455" customWidth="1"/>
    <col min="8" max="8" width="23.9090909090909" hidden="1" customWidth="1"/>
    <col min="9" max="9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PROPER(A2)</f>
        <v>Juarez, Jose </v>
      </c>
      <c r="C2">
        <v>41297</v>
      </c>
      <c r="D2" s="1">
        <f>VALUE(C2)</f>
        <v>41297</v>
      </c>
      <c r="E2" s="2">
        <v>39000</v>
      </c>
      <c r="F2" t="s">
        <v>10</v>
      </c>
      <c r="G2" t="str">
        <f>SUBSTITUTE(PROPER(F2),"Mktg","Marketing")</f>
        <v>Admin</v>
      </c>
      <c r="H2" t="s">
        <v>11</v>
      </c>
      <c r="I2" t="str">
        <f>PROPER(H2)</f>
        <v>Intern</v>
      </c>
    </row>
    <row r="3" spans="1:9">
      <c r="A3" t="s">
        <v>12</v>
      </c>
      <c r="B3" t="str">
        <f t="shared" ref="B3:B20" si="0">PROPER(A3)</f>
        <v>Abraham, Johnny </v>
      </c>
      <c r="C3" s="3">
        <v>41363</v>
      </c>
      <c r="D3" s="1">
        <f t="shared" ref="D3:D20" si="1">VALUE(C3)</f>
        <v>41363</v>
      </c>
      <c r="E3" s="2">
        <v>27000</v>
      </c>
      <c r="F3" t="s">
        <v>13</v>
      </c>
      <c r="G3" t="str">
        <f t="shared" ref="G3:G20" si="2">SUBSTITUTE(PROPER(F3),"Mktg","Marketing")</f>
        <v>Engineering</v>
      </c>
      <c r="H3" t="s">
        <v>14</v>
      </c>
      <c r="I3" t="str">
        <f t="shared" ref="I3:I20" si="3">PROPER(H3)</f>
        <v>Trainee</v>
      </c>
    </row>
    <row r="4" spans="1:9">
      <c r="A4" t="s">
        <v>15</v>
      </c>
      <c r="B4" t="str">
        <f t="shared" si="0"/>
        <v>Baker, Sarah</v>
      </c>
      <c r="C4" s="3">
        <v>42124</v>
      </c>
      <c r="D4" s="1">
        <f t="shared" si="1"/>
        <v>42124</v>
      </c>
      <c r="E4" s="2">
        <v>36000</v>
      </c>
      <c r="F4" t="s">
        <v>16</v>
      </c>
      <c r="G4" t="str">
        <f t="shared" si="2"/>
        <v>Sales</v>
      </c>
      <c r="H4" t="s">
        <v>17</v>
      </c>
      <c r="I4" t="str">
        <f t="shared" si="3"/>
        <v>Sales Executive</v>
      </c>
    </row>
    <row r="5" spans="1:9">
      <c r="A5" t="s">
        <v>18</v>
      </c>
      <c r="B5" t="str">
        <f t="shared" si="0"/>
        <v>Balotelli, Billy</v>
      </c>
      <c r="C5" s="3">
        <v>39401</v>
      </c>
      <c r="D5" s="1">
        <f t="shared" si="1"/>
        <v>39401</v>
      </c>
      <c r="E5" s="2">
        <v>23900</v>
      </c>
      <c r="F5" t="s">
        <v>13</v>
      </c>
      <c r="G5" t="str">
        <f t="shared" si="2"/>
        <v>Engineering</v>
      </c>
      <c r="H5" t="s">
        <v>11</v>
      </c>
      <c r="I5" t="str">
        <f t="shared" si="3"/>
        <v>Intern</v>
      </c>
    </row>
    <row r="6" spans="1:9">
      <c r="A6" t="s">
        <v>19</v>
      </c>
      <c r="B6" t="str">
        <f t="shared" si="0"/>
        <v>Bishop, Tiana </v>
      </c>
      <c r="C6">
        <v>37959</v>
      </c>
      <c r="D6" s="1">
        <f t="shared" si="1"/>
        <v>37959</v>
      </c>
      <c r="E6" s="2">
        <v>46500</v>
      </c>
      <c r="F6" t="s">
        <v>13</v>
      </c>
      <c r="G6" t="str">
        <f t="shared" si="2"/>
        <v>Engineering</v>
      </c>
      <c r="H6" t="s">
        <v>20</v>
      </c>
      <c r="I6" t="str">
        <f t="shared" si="3"/>
        <v>Manager</v>
      </c>
    </row>
    <row r="7" spans="1:9">
      <c r="A7" t="s">
        <v>21</v>
      </c>
      <c r="B7" t="str">
        <f t="shared" si="0"/>
        <v>Boateng, Terryy</v>
      </c>
      <c r="C7" s="3">
        <v>40021</v>
      </c>
      <c r="D7" s="1">
        <f t="shared" si="1"/>
        <v>40021</v>
      </c>
      <c r="E7" s="2">
        <v>50000</v>
      </c>
      <c r="F7" t="s">
        <v>22</v>
      </c>
      <c r="G7" t="str">
        <f t="shared" si="2"/>
        <v>Accounts</v>
      </c>
      <c r="H7" t="s">
        <v>23</v>
      </c>
      <c r="I7" t="str">
        <f t="shared" si="3"/>
        <v>Cost Accountant</v>
      </c>
    </row>
    <row r="8" spans="1:9">
      <c r="A8" t="s">
        <v>24</v>
      </c>
      <c r="B8" t="str">
        <f t="shared" si="0"/>
        <v>Boer, Fred </v>
      </c>
      <c r="C8" s="3">
        <v>40535</v>
      </c>
      <c r="D8" s="1">
        <f t="shared" si="1"/>
        <v>40535</v>
      </c>
      <c r="E8" s="2">
        <v>46000</v>
      </c>
      <c r="F8" t="s">
        <v>25</v>
      </c>
      <c r="G8" t="str">
        <f t="shared" si="2"/>
        <v>Marketing</v>
      </c>
      <c r="H8" t="s">
        <v>26</v>
      </c>
      <c r="I8" t="str">
        <f t="shared" si="3"/>
        <v>Designer</v>
      </c>
    </row>
    <row r="9" spans="1:9">
      <c r="A9" t="s">
        <v>27</v>
      </c>
      <c r="B9" t="str">
        <f t="shared" si="0"/>
        <v>Barker, Betty</v>
      </c>
      <c r="C9" s="3">
        <v>39288</v>
      </c>
      <c r="D9" s="1">
        <f t="shared" si="1"/>
        <v>39288</v>
      </c>
      <c r="E9" s="2">
        <v>43500</v>
      </c>
      <c r="F9" t="s">
        <v>16</v>
      </c>
      <c r="G9" t="str">
        <f t="shared" si="2"/>
        <v>Sales</v>
      </c>
      <c r="H9" t="s">
        <v>17</v>
      </c>
      <c r="I9" t="str">
        <f t="shared" si="3"/>
        <v>Sales Executive</v>
      </c>
    </row>
    <row r="10" spans="1:9">
      <c r="A10" t="s">
        <v>28</v>
      </c>
      <c r="B10" t="str">
        <f t="shared" si="0"/>
        <v>Bursteyn , Tom </v>
      </c>
      <c r="C10">
        <v>36834</v>
      </c>
      <c r="D10" s="1">
        <f t="shared" si="1"/>
        <v>36834</v>
      </c>
      <c r="E10" s="2">
        <v>21000</v>
      </c>
      <c r="F10" t="s">
        <v>16</v>
      </c>
      <c r="G10" t="str">
        <f t="shared" si="2"/>
        <v>Sales</v>
      </c>
      <c r="H10" t="s">
        <v>29</v>
      </c>
      <c r="I10" t="str">
        <f t="shared" si="3"/>
        <v>Sales Trainee</v>
      </c>
    </row>
    <row r="11" spans="1:9">
      <c r="A11" t="s">
        <v>30</v>
      </c>
      <c r="B11" t="str">
        <f t="shared" si="0"/>
        <v>Bursteyn, Tammy </v>
      </c>
      <c r="C11">
        <v>38238</v>
      </c>
      <c r="D11" s="1">
        <f t="shared" si="1"/>
        <v>38238</v>
      </c>
      <c r="E11" s="2">
        <v>38000</v>
      </c>
      <c r="F11" t="s">
        <v>16</v>
      </c>
      <c r="G11" t="str">
        <f t="shared" si="2"/>
        <v>Sales</v>
      </c>
      <c r="H11" t="s">
        <v>17</v>
      </c>
      <c r="I11" t="str">
        <f t="shared" si="3"/>
        <v>Sales Executive</v>
      </c>
    </row>
    <row r="12" spans="1:9">
      <c r="A12" t="s">
        <v>31</v>
      </c>
      <c r="B12" t="str">
        <f t="shared" si="0"/>
        <v>Busser, Bobby</v>
      </c>
      <c r="C12">
        <v>37417</v>
      </c>
      <c r="D12" s="1">
        <f t="shared" si="1"/>
        <v>37417</v>
      </c>
      <c r="E12" s="2">
        <v>29950</v>
      </c>
      <c r="F12" t="s">
        <v>22</v>
      </c>
      <c r="G12" t="str">
        <f t="shared" si="2"/>
        <v>Accounts</v>
      </c>
      <c r="H12" t="s">
        <v>32</v>
      </c>
      <c r="I12" t="str">
        <f t="shared" si="3"/>
        <v>Senior Administrator</v>
      </c>
    </row>
    <row r="13" spans="1:9">
      <c r="A13" t="s">
        <v>33</v>
      </c>
      <c r="B13" t="str">
        <f t="shared" si="0"/>
        <v>Casciewicz, Kathy</v>
      </c>
      <c r="C13" s="3">
        <v>40892</v>
      </c>
      <c r="D13" s="1">
        <f t="shared" si="1"/>
        <v>40892</v>
      </c>
      <c r="E13" s="2">
        <v>41000</v>
      </c>
      <c r="F13" t="s">
        <v>16</v>
      </c>
      <c r="G13" t="str">
        <f t="shared" si="2"/>
        <v>Sales</v>
      </c>
      <c r="H13" t="s">
        <v>34</v>
      </c>
      <c r="I13" t="str">
        <f t="shared" si="3"/>
        <v>Senior Technician</v>
      </c>
    </row>
    <row r="14" spans="1:9">
      <c r="A14" t="s">
        <v>35</v>
      </c>
      <c r="B14" t="str">
        <f t="shared" si="0"/>
        <v>Cole, Ashley </v>
      </c>
      <c r="C14">
        <v>40483</v>
      </c>
      <c r="D14" s="1">
        <f t="shared" si="1"/>
        <v>40483</v>
      </c>
      <c r="E14" s="2">
        <v>54000</v>
      </c>
      <c r="F14" t="s">
        <v>16</v>
      </c>
      <c r="G14" t="str">
        <f t="shared" si="2"/>
        <v>Sales</v>
      </c>
      <c r="H14" t="s">
        <v>23</v>
      </c>
      <c r="I14" t="str">
        <f t="shared" si="3"/>
        <v>Cost Accountant</v>
      </c>
    </row>
    <row r="15" spans="1:9">
      <c r="A15" t="s">
        <v>36</v>
      </c>
      <c r="B15" t="str">
        <f t="shared" si="0"/>
        <v>Cookson, Charles</v>
      </c>
      <c r="C15" s="3">
        <v>43924</v>
      </c>
      <c r="D15" s="1">
        <f t="shared" si="1"/>
        <v>43924</v>
      </c>
      <c r="E15" s="2">
        <v>63200</v>
      </c>
      <c r="F15" t="s">
        <v>37</v>
      </c>
      <c r="G15" t="str">
        <f t="shared" si="2"/>
        <v>R &amp; D</v>
      </c>
      <c r="H15" t="s">
        <v>38</v>
      </c>
      <c r="I15" t="str">
        <f t="shared" si="3"/>
        <v>Vp</v>
      </c>
    </row>
    <row r="16" spans="1:9">
      <c r="A16" t="s">
        <v>39</v>
      </c>
      <c r="B16" t="str">
        <f t="shared" si="0"/>
        <v>Crossley, Erin </v>
      </c>
      <c r="C16" s="3">
        <v>39926</v>
      </c>
      <c r="D16" s="1">
        <f t="shared" si="1"/>
        <v>39926</v>
      </c>
      <c r="E16" s="2">
        <v>46000</v>
      </c>
      <c r="F16" t="s">
        <v>10</v>
      </c>
      <c r="G16" t="str">
        <f t="shared" si="2"/>
        <v>Admin</v>
      </c>
      <c r="H16" t="s">
        <v>40</v>
      </c>
      <c r="I16" t="str">
        <f t="shared" si="3"/>
        <v>Team Leader</v>
      </c>
    </row>
    <row r="17" spans="1:9">
      <c r="A17" t="s">
        <v>41</v>
      </c>
      <c r="B17" t="str">
        <f t="shared" si="0"/>
        <v>Doe, Jane </v>
      </c>
      <c r="C17" s="3">
        <v>42210</v>
      </c>
      <c r="D17" s="1">
        <f t="shared" si="1"/>
        <v>42210</v>
      </c>
      <c r="E17" s="2">
        <v>21500</v>
      </c>
      <c r="F17" t="s">
        <v>37</v>
      </c>
      <c r="G17" t="str">
        <f t="shared" si="2"/>
        <v>R &amp; D</v>
      </c>
      <c r="H17" t="s">
        <v>14</v>
      </c>
      <c r="I17" t="str">
        <f t="shared" si="3"/>
        <v>Trainee</v>
      </c>
    </row>
    <row r="18" spans="1:9">
      <c r="A18" t="s">
        <v>42</v>
      </c>
      <c r="B18" t="str">
        <f t="shared" si="0"/>
        <v>Doe, John  </v>
      </c>
      <c r="C18" s="3">
        <v>41795</v>
      </c>
      <c r="D18" s="1">
        <f t="shared" si="1"/>
        <v>41795</v>
      </c>
      <c r="E18" s="2">
        <v>45600</v>
      </c>
      <c r="F18" t="s">
        <v>13</v>
      </c>
      <c r="G18" t="str">
        <f t="shared" si="2"/>
        <v>Engineering</v>
      </c>
      <c r="H18" t="s">
        <v>11</v>
      </c>
      <c r="I18" t="str">
        <f t="shared" si="3"/>
        <v>Intern</v>
      </c>
    </row>
    <row r="19" spans="1:9">
      <c r="A19" t="s">
        <v>43</v>
      </c>
      <c r="B19" t="str">
        <f t="shared" si="0"/>
        <v>Darnstein, Danny</v>
      </c>
      <c r="C19" s="3">
        <v>40891</v>
      </c>
      <c r="D19" s="1">
        <f t="shared" si="1"/>
        <v>40891</v>
      </c>
      <c r="E19" s="2">
        <v>52000</v>
      </c>
      <c r="F19" t="s">
        <v>13</v>
      </c>
      <c r="G19" t="str">
        <f t="shared" si="2"/>
        <v>Engineering</v>
      </c>
      <c r="H19" t="s">
        <v>23</v>
      </c>
      <c r="I19" t="str">
        <f t="shared" si="3"/>
        <v>Cost Accountant</v>
      </c>
    </row>
    <row r="20" spans="1:9">
      <c r="A20" t="s">
        <v>44</v>
      </c>
      <c r="B20" t="str">
        <f t="shared" si="0"/>
        <v>Fallengrano, Bill </v>
      </c>
      <c r="C20" s="3">
        <v>37071</v>
      </c>
      <c r="D20" s="1">
        <f t="shared" si="1"/>
        <v>37071</v>
      </c>
      <c r="E20" s="2">
        <v>56750</v>
      </c>
      <c r="F20" t="s">
        <v>13</v>
      </c>
      <c r="G20" t="str">
        <f t="shared" si="2"/>
        <v>Engineering</v>
      </c>
      <c r="H20" t="s">
        <v>32</v>
      </c>
      <c r="I20" t="str">
        <f t="shared" si="3"/>
        <v>Senior Administrator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Ohanme Daniel</cp:lastModifiedBy>
  <dcterms:created xsi:type="dcterms:W3CDTF">2026-02-23T20:11:22Z</dcterms:created>
  <dcterms:modified xsi:type="dcterms:W3CDTF">2026-02-23T20:50:54Z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BC1DFE2BB4094D088E6CAF0110BB29EC_11</vt:lpwstr>
  </property>
  <property fmtid="{D5CDD505-2E9C-101B-9397-08002B2CF9AE}" pid="3" name="KSOProductBuildVer">
    <vt:lpwstr>1033-12.2.0.23196</vt:lpwstr>
  </property>
</Properties>
</file>